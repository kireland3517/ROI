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 Encoding" sheetId="1" r:id="rId5"/>
    <sheet state="visible" name="Segment Signal Matrix" sheetId="2" r:id="rId6"/>
    <sheet state="visible" name="Hedonic Calc Engine" sheetId="3" r:id="rId7"/>
  </sheets>
  <definedNames/>
  <calcPr/>
</workbook>
</file>

<file path=xl/sharedStrings.xml><?xml version="1.0" encoding="utf-8"?>
<sst xmlns="http://schemas.openxmlformats.org/spreadsheetml/2006/main" count="332" uniqueCount="210">
  <si>
    <t>Property Attribute Signal Encoding — Mapped to UAD / Industry Standards</t>
  </si>
  <si>
    <t>Signal: 1 = above market norm (buyer premium)  |  0 = at norm (neutral)  |  -1 = below norm (buyer discount)  |  Thresholds sourced from UAD, FEMA, GreatSchools, Walk Score</t>
  </si>
  <si>
    <t>Category</t>
  </si>
  <si>
    <t>Attribute</t>
  </si>
  <si>
    <t>Standard / Source</t>
  </si>
  <si>
    <t>Signal = 1 (above norm)</t>
  </si>
  <si>
    <t>Signal = 0 (at norm)</t>
  </si>
  <si>
    <t>Signal = -1 (below norm)</t>
  </si>
  <si>
    <t>Buyer most sensitive</t>
  </si>
  <si>
    <t>Buyer least sensitive</t>
  </si>
  <si>
    <t>Notes</t>
  </si>
  <si>
    <t>Structural</t>
  </si>
  <si>
    <t>Overall condition</t>
  </si>
  <si>
    <t>Fannie Mae UAD C1–C6</t>
  </si>
  <si>
    <t>C1–C2: New or near-new, no deferred maintenance</t>
  </si>
  <si>
    <t>C3–C4: Normal wear, adequately maintained</t>
  </si>
  <si>
    <t>C5–C6: Poor condition, significant deferred maintenance</t>
  </si>
  <si>
    <t>Investors / flippers</t>
  </si>
  <si>
    <t>Move-up buyers</t>
  </si>
  <si>
    <t>UAD condition rating is required on every conventional appraisal. Direct mapping.</t>
  </si>
  <si>
    <t>Construction quality</t>
  </si>
  <si>
    <t>Fannie Mae UAD Q1–Q6</t>
  </si>
  <si>
    <t>Q1–Q2: Custom or high-quality construction</t>
  </si>
  <si>
    <t>Q3–Q4: Average to above-average quality</t>
  </si>
  <si>
    <t>Q5–Q6: Below average or lowest quality</t>
  </si>
  <si>
    <t>Relocation buyers</t>
  </si>
  <si>
    <t>Quality rating is fixed at build. Buyers pay a persistent premium for Q1-Q2 construction.</t>
  </si>
  <si>
    <t>Square footage vs. neighborhood norm</t>
  </si>
  <si>
    <t>ANSI Z765 / MLS median for census tract</t>
  </si>
  <si>
    <t>GLA &gt; 115% of tract median</t>
  </si>
  <si>
    <t>GLA within 85%–115% of tract median</t>
  </si>
  <si>
    <t>GLA &lt; 85% of tract median</t>
  </si>
  <si>
    <t>Retirees / downsizers</t>
  </si>
  <si>
    <t>ANSI Z765 defines what counts as GLA. Compare against ATTOM tract median.</t>
  </si>
  <si>
    <t>Bedroom count vs. norm</t>
  </si>
  <si>
    <t>MLS median for property type + zip</t>
  </si>
  <si>
    <t>At or above modal bedroom count for price tier</t>
  </si>
  <si>
    <t>Within 1 bedroom of modal count</t>
  </si>
  <si>
    <t>2+ bedrooms below modal count for price tier</t>
  </si>
  <si>
    <t>First-time buyers</t>
  </si>
  <si>
    <t>Modal count varies by market. Studio in NYC is norm. 3BR in suburbs is norm.</t>
  </si>
  <si>
    <t>Lot size vs. neighborhood norm</t>
  </si>
  <si>
    <t>County assessor / ATTOM lot data</t>
  </si>
  <si>
    <t>Lot &gt; 125% of zip median for property type</t>
  </si>
  <si>
    <t>Lot within 75%–125% of zip median</t>
  </si>
  <si>
    <t>Lot &lt; 75% of zip median</t>
  </si>
  <si>
    <t>Lot premium is nonlinear. Diminishing returns above 2x median. Investor values development optionality.</t>
  </si>
  <si>
    <t>Garage</t>
  </si>
  <si>
    <t>MLS standard / UAD site description</t>
  </si>
  <si>
    <t>Attached 2+ car garage where norm is 1-car or none</t>
  </si>
  <si>
    <t>Garage matches neighborhood norm</t>
  </si>
  <si>
    <t>No garage where attached garage is neighborhood norm</t>
  </si>
  <si>
    <t>Signal is relative to neighborhood norm, not absolute. No garage in Manhattan = 0, not -1.</t>
  </si>
  <si>
    <t>Basement (finished %)</t>
  </si>
  <si>
    <t>UAD / appraiser convention</t>
  </si>
  <si>
    <t>Finished basement &gt; 80% of below-grade sqft</t>
  </si>
  <si>
    <t>Partially finished or unfinished in market where unfinished is norm</t>
  </si>
  <si>
    <t>Unfinished where finished basement is neighborhood norm</t>
  </si>
  <si>
    <t>Finished basement sqft typically valued at 50–60% of above-grade sqft in hedonic models.</t>
  </si>
  <si>
    <t>Locational</t>
  </si>
  <si>
    <t>School district rating</t>
  </si>
  <si>
    <t>GreatSchools 1–10 scale</t>
  </si>
  <si>
    <t>Rating 8–10</t>
  </si>
  <si>
    <t>Rating 5–7</t>
  </si>
  <si>
    <t>Rating 1–4</t>
  </si>
  <si>
    <t>GreatSchools is the de facto industry standard. Redfin and Zillow both display it. Strong empirical evidence for price premium.</t>
  </si>
  <si>
    <t>Walkability</t>
  </si>
  <si>
    <t>Walk Score 0–100</t>
  </si>
  <si>
    <t>Walk Score 70–100 (Very Walkable / Walker's Paradise)</t>
  </si>
  <si>
    <t>Walk Score 25–69 (Car-Dependent to Somewhat Walkable)</t>
  </si>
  <si>
    <t>Walk Score 0–24 (Car-Dependent)</t>
  </si>
  <si>
    <t>Walk Score is licensed data. Redfin embeds it. Strong premium documented in urban markets.</t>
  </si>
  <si>
    <t>Flood zone</t>
  </si>
  <si>
    <t>FEMA Flood Insurance Rate Map (FIRM)</t>
  </si>
  <si>
    <t>Zone X: Minimal flood risk, no mandatory insurance</t>
  </si>
  <si>
    <t>Zone AE moderate: Some risk, insurance required but manageable</t>
  </si>
  <si>
    <t>Zone VE / AO: High risk, expensive mandatory insurance</t>
  </si>
  <si>
    <t>FEMA zone is public data. Zone VE = coastal high-velocity. Insurance cost delta is the mechanism.</t>
  </si>
  <si>
    <t>Wildfire / hazard risk</t>
  </si>
  <si>
    <t>CAL FIRE FHSZ / CoreLogic Hazard Risk Score</t>
  </si>
  <si>
    <t>No designated hazard zone</t>
  </si>
  <si>
    <t>Moderate hazard zone designation</t>
  </si>
  <si>
    <t>High or Very High State Responsibility Area (SRA)</t>
  </si>
  <si>
    <t>Material in CA, CO, OR, WA, TX coastal. Insurance non-renewal wave making this a transaction blocker.</t>
  </si>
  <si>
    <t>Crime index</t>
  </si>
  <si>
    <t>NeighborhoodScout / FBI UCR relative index</t>
  </si>
  <si>
    <t>Crime index below 20 (safer than 80%+ of US)</t>
  </si>
  <si>
    <t>Crime index 20–60 (near national average)</t>
  </si>
  <si>
    <t>Crime index above 60 (higher than 60%+ of US)</t>
  </si>
  <si>
    <t>Investors discount crime less — buying below market intentionally. All other segments penalize.</t>
  </si>
  <si>
    <t>Noise exposure</t>
  </si>
  <si>
    <t>HUD ONAC / FAA noise contour maps</t>
  </si>
  <si>
    <t>No highway, rail, or flight path within 0.25 miles</t>
  </si>
  <si>
    <t>Minor road noise, no direct flight path</t>
  </si>
  <si>
    <t>Within DNL 65+ dB contour or adjacent to highway / rail</t>
  </si>
  <si>
    <t>HUD Office of Noise Abatement defines 65 dB as incompatible with residential use.</t>
  </si>
  <si>
    <t>Cosmetic / Finish</t>
  </si>
  <si>
    <t>Kitchen finish tier</t>
  </si>
  <si>
    <t>UAD Q-rating applied to kitchen + Zonda cost tiers</t>
  </si>
  <si>
    <t>Full renovation &lt; 5 years ago, quartz or better, updated appliances</t>
  </si>
  <si>
    <t>Functional, dated but clean, no major deferred updates</t>
  </si>
  <si>
    <t>Visibly outdated, worn surfaces, deferred replacement needed</t>
  </si>
  <si>
    <t>Zonda 2025: minor kitchen remodel returns 112.9%. Major upscale returns only 34.9%. Tier matters.</t>
  </si>
  <si>
    <t>Bathroom finish tier</t>
  </si>
  <si>
    <t>UAD Q-rating applied to baths</t>
  </si>
  <si>
    <t>Updated fixtures, tile, vanity &lt; 7 years ago</t>
  </si>
  <si>
    <t>Functional, standard condition</t>
  </si>
  <si>
    <t>Harvest gold / pink tile era, worn fixtures, visible mold risk</t>
  </si>
  <si>
    <t>NAR: bathroom renovation recoups ~50%. Diminishing returns on upscale.</t>
  </si>
  <si>
    <t>Flooring</t>
  </si>
  <si>
    <t>UAD condition / appraiser observation</t>
  </si>
  <si>
    <t>Hardwood, LVP, or tile in good condition throughout</t>
  </si>
  <si>
    <t>Mixed flooring, carpet in bedrooms acceptable</t>
  </si>
  <si>
    <t>Worn carpet throughout, damaged or mismatched flooring</t>
  </si>
  <si>
    <t>Carpet replacement is a common investor rehab line item. Low cost, high visual impact.</t>
  </si>
  <si>
    <t>Curb appeal / exterior</t>
  </si>
  <si>
    <t>UAD C-rating applied to exterior</t>
  </si>
  <si>
    <t>C1–C2 exterior: fresh paint, maintained landscaping, clean hardscape</t>
  </si>
  <si>
    <t>C3–C4: normal wear, functional</t>
  </si>
  <si>
    <t>C5–C6: peeling paint, overgrown, damaged driveway or fencing</t>
  </si>
  <si>
    <t>Zonda 2025: garage door replacement 267.7% ROI, steel door 216.4%. Exterior drives highest returns.</t>
  </si>
  <si>
    <t>Functional / Systems</t>
  </si>
  <si>
    <t>Roof age + condition</t>
  </si>
  <si>
    <t>Industry standard / home inspection convention</t>
  </si>
  <si>
    <t>Roof &lt; 5 years old or recently replaced</t>
  </si>
  <si>
    <t>Roof 6–15 years, no active issues</t>
  </si>
  <si>
    <t>Roof 16+ years, at or past expected service life</t>
  </si>
  <si>
    <t>Asphalt shingle life = 20–25 years. Lenders may require replacement if &gt; 20 years. Inspection-flagging threshold.</t>
  </si>
  <si>
    <t>HVAC age + condition</t>
  </si>
  <si>
    <t>ASHRAE equipment life tables</t>
  </si>
  <si>
    <t>HVAC &lt; 7 years old, modern efficiency rating</t>
  </si>
  <si>
    <t>HVAC 8–15 years, functional</t>
  </si>
  <si>
    <t>HVAC 16+ years, at end of ASHRAE service life</t>
  </si>
  <si>
    <t>ASHRAE defines typical HVAC life at 15–20 years. Replacement cost $8k–$15k. Known cost line item for investors.</t>
  </si>
  <si>
    <t>Electrical panel</t>
  </si>
  <si>
    <t>NEC / home inspection standards</t>
  </si>
  <si>
    <t>200-amp panel, updated within 20 years, no known issues</t>
  </si>
  <si>
    <t>100–150 amp, functional, no active hazards</t>
  </si>
  <si>
    <t>Knob-and-tube, Federal Pacific, or Zinsco panel; &lt; 100 amp</t>
  </si>
  <si>
    <t>Federal Pacific and Zinsco are lender-blocking conditions. Knob-and-tube triggers insurance non-renewal.</t>
  </si>
  <si>
    <t>Plumbing condition</t>
  </si>
  <si>
    <t>Home inspection / appraiser observation</t>
  </si>
  <si>
    <t>Copper or PEX throughout, water heater &lt; 7 years</t>
  </si>
  <si>
    <t>Mixed materials, water heater 8–12 years, no active leaks</t>
  </si>
  <si>
    <t>Polybutylene, galvanized steel, active leaks, water heater 13+ years</t>
  </si>
  <si>
    <t>Polybutylene (gray plastic, 1978–1995) is an insurance and lender risk. Class action history.</t>
  </si>
  <si>
    <t>Foundation condition</t>
  </si>
  <si>
    <t>UAD / structural engineer convention</t>
  </si>
  <si>
    <t>No cracks, no settlement, no water intrusion history</t>
  </si>
  <si>
    <t>Minor cosmetic cracks, no structural movement indicated</t>
  </si>
  <si>
    <t>Active settlement cracks, bowing walls, drainage failure</t>
  </si>
  <si>
    <t>Severe foundation issues are lender-blocking and can exceed $50k to remediate. Universal negative.</t>
  </si>
  <si>
    <t>Energy efficiency</t>
  </si>
  <si>
    <t>HERS Index / ENERGY STAR rating</t>
  </si>
  <si>
    <t>HERS score &lt; 70 or ENERGY STAR certified</t>
  </si>
  <si>
    <t>HERS 71–100, standard construction</t>
  </si>
  <si>
    <t>HERS &gt; 100 or no insulation upgrades in 30+ years</t>
  </si>
  <si>
    <t>HERS Index: lower = more efficient. 100 = 2006 code baseline. Growing importance with rising utility costs.</t>
  </si>
  <si>
    <t>Water intrusion / mold</t>
  </si>
  <si>
    <t>HUD healthy homes / home inspection</t>
  </si>
  <si>
    <t>No history, no visible staining, clean inspection</t>
  </si>
  <si>
    <t>Prior remediated issue with documentation</t>
  </si>
  <si>
    <t>Active moisture, visible mold, undisclosed or unresolved</t>
  </si>
  <si>
    <t>All segments penalize</t>
  </si>
  <si>
    <t>Active mold is a lender-blocking condition in most states. Disclosure laws vary. Universal negative signal.</t>
  </si>
  <si>
    <t>Segment Signal Matrix — How each buyer segment interprets the signal for each attribute</t>
  </si>
  <si>
    <t>1 = buyer pays premium  |  0 = buyer is neutral  |  -1 = buyer demands discount  |  Magnitude of dollar effect determined by regression coefficient (Phase 2)</t>
  </si>
  <si>
    <t>Square footage vs. norm</t>
  </si>
  <si>
    <t>Lot size vs. norm</t>
  </si>
  <si>
    <t>Hedonic Value Adjustment Engine — Phase 1 (placeholder coefficients, replace with ATTOM regression in Phase 2)</t>
  </si>
  <si>
    <t>INPUTS — blue cells are user inputs</t>
  </si>
  <si>
    <t>Property AVM baseline ($)</t>
  </si>
  <si>
    <t>From RentCast or ATTOM AVM endpoint</t>
  </si>
  <si>
    <t>Buyer segment (1=FTB 2=MUB 3=RET 4=INV 5=REL)</t>
  </si>
  <si>
    <t>Determined by zip segment scoring tool</t>
  </si>
  <si>
    <t>AVM confidence score (0.0–1.0)</t>
  </si>
  <si>
    <t>From ATTOM AI confidence score</t>
  </si>
  <si>
    <t>ATTRIBUTE SIGNALS — enter observed signal for subject property (-1, 0, or 1)</t>
  </si>
  <si>
    <t>Signal
(-1, 0, 1)</t>
  </si>
  <si>
    <t>Placeholder
Coefficient</t>
  </si>
  <si>
    <t>Adjusted
Delta ($)</t>
  </si>
  <si>
    <t>Segment
Weight</t>
  </si>
  <si>
    <t>Source / Note</t>
  </si>
  <si>
    <t>Overall condition (UAD C1–C6)</t>
  </si>
  <si>
    <t>Phase 1 placeholder. Replace with ATTOM regression coeff.</t>
  </si>
  <si>
    <t>Zonda 2025: minor kitchen remodel 112.9% ROI baseline.</t>
  </si>
  <si>
    <t>NAR: bath remodel ~50% cost recovery.</t>
  </si>
  <si>
    <t>School district rating (GreatSchools)</t>
  </si>
  <si>
    <t>Strong empirical evidence. ~$10k per rating point in many markets.</t>
  </si>
  <si>
    <t>Near end-of-life roof = ~$15k–25k buyer discount demand.</t>
  </si>
  <si>
    <t>End-of-life HVAC = ~$8k–15k replacement cost signal.</t>
  </si>
  <si>
    <t>Flood zone (FEMA)</t>
  </si>
  <si>
    <t>Zone VE vs Zone X can represent 10%+ price differential.</t>
  </si>
  <si>
    <t>1 std deviation improvement ~ 2–4% price premium in literature.</t>
  </si>
  <si>
    <t>Curb appeal / exterior (UAD C-rating)</t>
  </si>
  <si>
    <t>Zonda: exterior projects dominate ROI rankings.</t>
  </si>
  <si>
    <t>Foundation issues are lender-blocking. Universal large negative.</t>
  </si>
  <si>
    <t>Walkability (Walk Score)</t>
  </si>
  <si>
    <t>Urban markets: each 10-point Walk Score ~ 1–2% premium.</t>
  </si>
  <si>
    <t>Energy efficiency (HERS)</t>
  </si>
  <si>
    <t>Growing buyer sensitivity. Lower weight Phase 1.</t>
  </si>
  <si>
    <t>OUTPUTS</t>
  </si>
  <si>
    <t>Sum of raw attribute deltas ($)</t>
  </si>
  <si>
    <t>Sum of all signal × coefficient × AVM across all attributes</t>
  </si>
  <si>
    <t>Segment-weighted total adjustment ($)</t>
  </si>
  <si>
    <t>Raw deltas weighted by segment category priorities</t>
  </si>
  <si>
    <t>Confidence-adjusted total adjustment ($)</t>
  </si>
  <si>
    <t>Segment-weighted adjustment discounted by AVM confidence score</t>
  </si>
  <si>
    <t>Estimated adjusted property value ($)</t>
  </si>
  <si>
    <t>AVM baseline + confidence-adjusted hedonic adjustment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</si>
</sst>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00"/>
  </numFmts>
  <fonts count="22">
    <font>
      <sz val="11.0"/>
      <color theme="1"/>
      <name val="Calibri"/>
      <scheme val="minor"/>
    </font>
    <font>
      <b/>
      <sz val="11.0"/>
      <color rgb="FFFFFFFF"/>
      <name val="Open Sans"/>
    </font>
    <font/>
    <font>
      <sz val="11.0"/>
      <color theme="1"/>
      <name val="Open Sans"/>
    </font>
    <font>
      <i/>
      <sz val="11.0"/>
      <color rgb="FF555555"/>
      <name val="Open Sans"/>
    </font>
    <font>
      <b/>
      <sz val="11.0"/>
      <color rgb="FF1A237E"/>
      <name val="Open Sans"/>
    </font>
    <font>
      <b/>
      <sz val="11.0"/>
      <color rgb="FF000000"/>
      <name val="Open Sans"/>
    </font>
    <font>
      <i/>
      <sz val="11.0"/>
      <color rgb="FF444444"/>
      <name val="Open Sans"/>
    </font>
    <font>
      <sz val="11.0"/>
      <color rgb="FF1B5E20"/>
      <name val="Open Sans"/>
    </font>
    <font>
      <sz val="11.0"/>
      <color rgb="FF555555"/>
      <name val="Open Sans"/>
    </font>
    <font>
      <sz val="11.0"/>
      <color rgb="FFB71C1C"/>
      <name val="Open Sans"/>
    </font>
    <font>
      <sz val="11.0"/>
      <color rgb="FF444444"/>
      <name val="Open Sans"/>
    </font>
    <font>
      <i/>
      <sz val="11.0"/>
      <color rgb="FF666666"/>
      <name val="Open Sans"/>
    </font>
    <font>
      <b/>
      <sz val="11.0"/>
      <color rgb="FF1B5E20"/>
      <name val="Open Sans"/>
    </font>
    <font>
      <b/>
      <sz val="11.0"/>
      <color rgb="FFB71C1C"/>
      <name val="Open Sans"/>
    </font>
    <font>
      <b/>
      <sz val="12.0"/>
      <color rgb="FFFFFFFF"/>
      <name val="Open Sans"/>
    </font>
    <font>
      <sz val="12.0"/>
      <color theme="1"/>
      <name val="Open Sans"/>
    </font>
    <font>
      <sz val="12.0"/>
      <color rgb="FF000000"/>
      <name val="Open Sans"/>
    </font>
    <font>
      <b/>
      <sz val="12.0"/>
      <color rgb="FF0000FF"/>
      <name val="Open Sans"/>
    </font>
    <font>
      <sz val="12.0"/>
      <color rgb="FF666666"/>
      <name val="Open Sans"/>
    </font>
    <font>
      <i/>
      <sz val="12.0"/>
      <color rgb="FF888888"/>
      <name val="Open Sans"/>
    </font>
    <font>
      <b/>
      <sz val="12.0"/>
      <color rgb="FF000000"/>
      <name val="Open Sans"/>
    </font>
  </fonts>
  <fills count="11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EAF6"/>
        <bgColor rgb="FFE8EAF6"/>
      </patternFill>
    </fill>
    <fill>
      <patternFill patternType="solid">
        <fgColor rgb="FFF7F7F7"/>
        <bgColor rgb="FFF7F7F7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EEF2FF"/>
        <bgColor rgb="FFEEF2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4" fillId="9" fontId="18" numFmtId="164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4" fillId="9" fontId="18" numFmtId="1" xfId="0" applyAlignment="1" applyBorder="1" applyFont="1" applyNumberFormat="1">
      <alignment horizontal="center" shrinkToFit="0" vertical="center" wrapText="1"/>
    </xf>
    <xf borderId="4" fillId="9" fontId="18" numFmtId="2" xfId="0" applyAlignment="1" applyBorder="1" applyFont="1" applyNumberFormat="1">
      <alignment horizontal="center" shrinkToFit="0" vertical="center" wrapText="1"/>
    </xf>
    <xf borderId="4" fillId="2" fontId="15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0" fontId="20" numFmtId="165" xfId="0" applyAlignment="1" applyBorder="1" applyFont="1" applyNumberFormat="1">
      <alignment horizontal="center" shrinkToFit="0" vertical="center" wrapText="1"/>
    </xf>
    <xf borderId="4" fillId="10" fontId="21" numFmtId="164" xfId="0" applyAlignment="1" applyBorder="1" applyFill="1" applyFont="1" applyNumberFormat="1">
      <alignment horizontal="center" shrinkToFit="0" vertical="center" wrapText="1"/>
    </xf>
    <xf borderId="4" fillId="0" fontId="17" numFmtId="2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1"/>
    </xf>
    <xf borderId="4" fillId="9" fontId="2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29.29"/>
    <col customWidth="1" min="3" max="3" width="36.0"/>
    <col customWidth="1" min="4" max="4" width="29.29"/>
    <col customWidth="1" min="5" max="5" width="31.29"/>
    <col customWidth="1" min="6" max="6" width="29.29"/>
    <col customWidth="1" min="7" max="7" width="23.86"/>
    <col customWidth="1" min="8" max="8" width="20.71"/>
    <col customWidth="1" min="9" max="9" width="42.86"/>
    <col customWidth="1" min="10" max="26" width="29.29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7.25" customHeight="1">
      <c r="A4" s="7" t="s">
        <v>11</v>
      </c>
      <c r="B4" s="8" t="s">
        <v>12</v>
      </c>
      <c r="C4" s="9" t="s">
        <v>13</v>
      </c>
      <c r="D4" s="10" t="s">
        <v>14</v>
      </c>
      <c r="E4" s="11" t="s">
        <v>15</v>
      </c>
      <c r="F4" s="12" t="s">
        <v>16</v>
      </c>
      <c r="G4" s="13" t="s">
        <v>17</v>
      </c>
      <c r="H4" s="13" t="s">
        <v>18</v>
      </c>
      <c r="I4" s="14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7.25" customHeight="1">
      <c r="A5" s="7" t="s">
        <v>11</v>
      </c>
      <c r="B5" s="15" t="s">
        <v>20</v>
      </c>
      <c r="C5" s="16" t="s">
        <v>21</v>
      </c>
      <c r="D5" s="10" t="s">
        <v>22</v>
      </c>
      <c r="E5" s="11" t="s">
        <v>23</v>
      </c>
      <c r="F5" s="12" t="s">
        <v>24</v>
      </c>
      <c r="G5" s="17" t="s">
        <v>25</v>
      </c>
      <c r="H5" s="17" t="s">
        <v>17</v>
      </c>
      <c r="I5" s="18" t="s">
        <v>26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7.25" customHeight="1">
      <c r="A6" s="7" t="s">
        <v>11</v>
      </c>
      <c r="B6" s="8" t="s">
        <v>27</v>
      </c>
      <c r="C6" s="9" t="s">
        <v>28</v>
      </c>
      <c r="D6" s="10" t="s">
        <v>29</v>
      </c>
      <c r="E6" s="11" t="s">
        <v>30</v>
      </c>
      <c r="F6" s="12" t="s">
        <v>31</v>
      </c>
      <c r="G6" s="13" t="s">
        <v>18</v>
      </c>
      <c r="H6" s="13" t="s">
        <v>32</v>
      </c>
      <c r="I6" s="14" t="s">
        <v>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7.25" customHeight="1">
      <c r="A7" s="7" t="s">
        <v>11</v>
      </c>
      <c r="B7" s="15" t="s">
        <v>34</v>
      </c>
      <c r="C7" s="16" t="s">
        <v>35</v>
      </c>
      <c r="D7" s="10" t="s">
        <v>36</v>
      </c>
      <c r="E7" s="11" t="s">
        <v>37</v>
      </c>
      <c r="F7" s="12" t="s">
        <v>38</v>
      </c>
      <c r="G7" s="17" t="s">
        <v>39</v>
      </c>
      <c r="H7" s="17" t="s">
        <v>17</v>
      </c>
      <c r="I7" s="18" t="s">
        <v>40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7.25" customHeight="1">
      <c r="A8" s="7" t="s">
        <v>11</v>
      </c>
      <c r="B8" s="8" t="s">
        <v>41</v>
      </c>
      <c r="C8" s="9" t="s">
        <v>42</v>
      </c>
      <c r="D8" s="10" t="s">
        <v>43</v>
      </c>
      <c r="E8" s="11" t="s">
        <v>44</v>
      </c>
      <c r="F8" s="12" t="s">
        <v>45</v>
      </c>
      <c r="G8" s="13" t="s">
        <v>17</v>
      </c>
      <c r="H8" s="13" t="s">
        <v>32</v>
      </c>
      <c r="I8" s="14" t="s">
        <v>46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7.25" customHeight="1">
      <c r="A9" s="7" t="s">
        <v>11</v>
      </c>
      <c r="B9" s="15" t="s">
        <v>47</v>
      </c>
      <c r="C9" s="16" t="s">
        <v>48</v>
      </c>
      <c r="D9" s="10" t="s">
        <v>49</v>
      </c>
      <c r="E9" s="11" t="s">
        <v>50</v>
      </c>
      <c r="F9" s="12" t="s">
        <v>51</v>
      </c>
      <c r="G9" s="17" t="s">
        <v>18</v>
      </c>
      <c r="H9" s="17" t="s">
        <v>25</v>
      </c>
      <c r="I9" s="18" t="s">
        <v>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7" t="s">
        <v>11</v>
      </c>
      <c r="B10" s="8" t="s">
        <v>53</v>
      </c>
      <c r="C10" s="9" t="s">
        <v>54</v>
      </c>
      <c r="D10" s="10" t="s">
        <v>55</v>
      </c>
      <c r="E10" s="11" t="s">
        <v>56</v>
      </c>
      <c r="F10" s="12" t="s">
        <v>57</v>
      </c>
      <c r="G10" s="13" t="s">
        <v>18</v>
      </c>
      <c r="H10" s="13" t="s">
        <v>32</v>
      </c>
      <c r="I10" s="14" t="s">
        <v>58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7.25" customHeight="1">
      <c r="A11" s="7" t="s">
        <v>59</v>
      </c>
      <c r="B11" s="15" t="s">
        <v>60</v>
      </c>
      <c r="C11" s="16" t="s">
        <v>61</v>
      </c>
      <c r="D11" s="10" t="s">
        <v>62</v>
      </c>
      <c r="E11" s="11" t="s">
        <v>63</v>
      </c>
      <c r="F11" s="12" t="s">
        <v>64</v>
      </c>
      <c r="G11" s="17" t="s">
        <v>39</v>
      </c>
      <c r="H11" s="17" t="s">
        <v>17</v>
      </c>
      <c r="I11" s="18" t="s">
        <v>65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7.25" customHeight="1">
      <c r="A12" s="7" t="s">
        <v>59</v>
      </c>
      <c r="B12" s="8" t="s">
        <v>66</v>
      </c>
      <c r="C12" s="9" t="s">
        <v>67</v>
      </c>
      <c r="D12" s="10" t="s">
        <v>68</v>
      </c>
      <c r="E12" s="11" t="s">
        <v>69</v>
      </c>
      <c r="F12" s="12" t="s">
        <v>70</v>
      </c>
      <c r="G12" s="13" t="s">
        <v>32</v>
      </c>
      <c r="H12" s="13" t="s">
        <v>17</v>
      </c>
      <c r="I12" s="14" t="s">
        <v>71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7.25" customHeight="1">
      <c r="A13" s="7" t="s">
        <v>59</v>
      </c>
      <c r="B13" s="15" t="s">
        <v>72</v>
      </c>
      <c r="C13" s="16" t="s">
        <v>73</v>
      </c>
      <c r="D13" s="10" t="s">
        <v>74</v>
      </c>
      <c r="E13" s="11" t="s">
        <v>75</v>
      </c>
      <c r="F13" s="12" t="s">
        <v>76</v>
      </c>
      <c r="G13" s="17" t="s">
        <v>17</v>
      </c>
      <c r="H13" s="17" t="s">
        <v>18</v>
      </c>
      <c r="I13" s="18" t="s">
        <v>77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7.25" customHeight="1">
      <c r="A14" s="7" t="s">
        <v>59</v>
      </c>
      <c r="B14" s="8" t="s">
        <v>78</v>
      </c>
      <c r="C14" s="9" t="s">
        <v>79</v>
      </c>
      <c r="D14" s="10" t="s">
        <v>80</v>
      </c>
      <c r="E14" s="11" t="s">
        <v>81</v>
      </c>
      <c r="F14" s="12" t="s">
        <v>82</v>
      </c>
      <c r="G14" s="13" t="s">
        <v>17</v>
      </c>
      <c r="H14" s="13" t="s">
        <v>39</v>
      </c>
      <c r="I14" s="14" t="s">
        <v>83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7.25" customHeight="1">
      <c r="A15" s="7" t="s">
        <v>59</v>
      </c>
      <c r="B15" s="15" t="s">
        <v>84</v>
      </c>
      <c r="C15" s="16" t="s">
        <v>85</v>
      </c>
      <c r="D15" s="10" t="s">
        <v>86</v>
      </c>
      <c r="E15" s="11" t="s">
        <v>87</v>
      </c>
      <c r="F15" s="12" t="s">
        <v>88</v>
      </c>
      <c r="G15" s="17" t="s">
        <v>39</v>
      </c>
      <c r="H15" s="17" t="s">
        <v>17</v>
      </c>
      <c r="I15" s="18" t="s">
        <v>89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7.25" customHeight="1">
      <c r="A16" s="7" t="s">
        <v>59</v>
      </c>
      <c r="B16" s="8" t="s">
        <v>90</v>
      </c>
      <c r="C16" s="9" t="s">
        <v>91</v>
      </c>
      <c r="D16" s="10" t="s">
        <v>92</v>
      </c>
      <c r="E16" s="11" t="s">
        <v>93</v>
      </c>
      <c r="F16" s="12" t="s">
        <v>94</v>
      </c>
      <c r="G16" s="13" t="s">
        <v>32</v>
      </c>
      <c r="H16" s="13" t="s">
        <v>17</v>
      </c>
      <c r="I16" s="14" t="s">
        <v>95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7.25" customHeight="1">
      <c r="A17" s="7" t="s">
        <v>96</v>
      </c>
      <c r="B17" s="15" t="s">
        <v>97</v>
      </c>
      <c r="C17" s="16" t="s">
        <v>98</v>
      </c>
      <c r="D17" s="10" t="s">
        <v>99</v>
      </c>
      <c r="E17" s="11" t="s">
        <v>100</v>
      </c>
      <c r="F17" s="12" t="s">
        <v>101</v>
      </c>
      <c r="G17" s="17" t="s">
        <v>25</v>
      </c>
      <c r="H17" s="17" t="s">
        <v>17</v>
      </c>
      <c r="I17" s="18" t="s">
        <v>102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7.25" customHeight="1">
      <c r="A18" s="7" t="s">
        <v>96</v>
      </c>
      <c r="B18" s="8" t="s">
        <v>103</v>
      </c>
      <c r="C18" s="9" t="s">
        <v>104</v>
      </c>
      <c r="D18" s="10" t="s">
        <v>105</v>
      </c>
      <c r="E18" s="11" t="s">
        <v>106</v>
      </c>
      <c r="F18" s="12" t="s">
        <v>107</v>
      </c>
      <c r="G18" s="13" t="s">
        <v>18</v>
      </c>
      <c r="H18" s="13" t="s">
        <v>17</v>
      </c>
      <c r="I18" s="14" t="s">
        <v>108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7.25" customHeight="1">
      <c r="A19" s="7" t="s">
        <v>96</v>
      </c>
      <c r="B19" s="15" t="s">
        <v>109</v>
      </c>
      <c r="C19" s="16" t="s">
        <v>110</v>
      </c>
      <c r="D19" s="10" t="s">
        <v>111</v>
      </c>
      <c r="E19" s="11" t="s">
        <v>112</v>
      </c>
      <c r="F19" s="12" t="s">
        <v>113</v>
      </c>
      <c r="G19" s="17" t="s">
        <v>25</v>
      </c>
      <c r="H19" s="17" t="s">
        <v>17</v>
      </c>
      <c r="I19" s="18" t="s">
        <v>114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7.25" customHeight="1">
      <c r="A20" s="7" t="s">
        <v>96</v>
      </c>
      <c r="B20" s="8" t="s">
        <v>115</v>
      </c>
      <c r="C20" s="9" t="s">
        <v>116</v>
      </c>
      <c r="D20" s="10" t="s">
        <v>117</v>
      </c>
      <c r="E20" s="11" t="s">
        <v>118</v>
      </c>
      <c r="F20" s="12" t="s">
        <v>119</v>
      </c>
      <c r="G20" s="13" t="s">
        <v>25</v>
      </c>
      <c r="H20" s="13" t="s">
        <v>17</v>
      </c>
      <c r="I20" s="14" t="s">
        <v>120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7.25" customHeight="1">
      <c r="A21" s="7" t="s">
        <v>121</v>
      </c>
      <c r="B21" s="15" t="s">
        <v>122</v>
      </c>
      <c r="C21" s="16" t="s">
        <v>123</v>
      </c>
      <c r="D21" s="10" t="s">
        <v>124</v>
      </c>
      <c r="E21" s="11" t="s">
        <v>125</v>
      </c>
      <c r="F21" s="12" t="s">
        <v>126</v>
      </c>
      <c r="G21" s="17" t="s">
        <v>17</v>
      </c>
      <c r="H21" s="17" t="s">
        <v>18</v>
      </c>
      <c r="I21" s="18" t="s">
        <v>127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7.25" customHeight="1">
      <c r="A22" s="7" t="s">
        <v>121</v>
      </c>
      <c r="B22" s="8" t="s">
        <v>128</v>
      </c>
      <c r="C22" s="9" t="s">
        <v>129</v>
      </c>
      <c r="D22" s="10" t="s">
        <v>130</v>
      </c>
      <c r="E22" s="11" t="s">
        <v>131</v>
      </c>
      <c r="F22" s="12" t="s">
        <v>132</v>
      </c>
      <c r="G22" s="13" t="s">
        <v>32</v>
      </c>
      <c r="H22" s="13" t="s">
        <v>18</v>
      </c>
      <c r="I22" s="14" t="s">
        <v>133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7.25" customHeight="1">
      <c r="A23" s="7" t="s">
        <v>121</v>
      </c>
      <c r="B23" s="15" t="s">
        <v>134</v>
      </c>
      <c r="C23" s="16" t="s">
        <v>135</v>
      </c>
      <c r="D23" s="10" t="s">
        <v>136</v>
      </c>
      <c r="E23" s="11" t="s">
        <v>137</v>
      </c>
      <c r="F23" s="12" t="s">
        <v>138</v>
      </c>
      <c r="G23" s="17" t="s">
        <v>17</v>
      </c>
      <c r="H23" s="17" t="s">
        <v>18</v>
      </c>
      <c r="I23" s="18" t="s">
        <v>139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7.25" customHeight="1">
      <c r="A24" s="7" t="s">
        <v>121</v>
      </c>
      <c r="B24" s="8" t="s">
        <v>140</v>
      </c>
      <c r="C24" s="9" t="s">
        <v>141</v>
      </c>
      <c r="D24" s="10" t="s">
        <v>142</v>
      </c>
      <c r="E24" s="11" t="s">
        <v>143</v>
      </c>
      <c r="F24" s="12" t="s">
        <v>144</v>
      </c>
      <c r="G24" s="13" t="s">
        <v>17</v>
      </c>
      <c r="H24" s="13" t="s">
        <v>25</v>
      </c>
      <c r="I24" s="14" t="s">
        <v>145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7.25" customHeight="1">
      <c r="A25" s="7" t="s">
        <v>121</v>
      </c>
      <c r="B25" s="15" t="s">
        <v>146</v>
      </c>
      <c r="C25" s="16" t="s">
        <v>147</v>
      </c>
      <c r="D25" s="10" t="s">
        <v>148</v>
      </c>
      <c r="E25" s="11" t="s">
        <v>149</v>
      </c>
      <c r="F25" s="12" t="s">
        <v>150</v>
      </c>
      <c r="G25" s="17" t="s">
        <v>17</v>
      </c>
      <c r="H25" s="17" t="s">
        <v>25</v>
      </c>
      <c r="I25" s="18" t="s">
        <v>151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7.25" customHeight="1">
      <c r="A26" s="7" t="s">
        <v>121</v>
      </c>
      <c r="B26" s="8" t="s">
        <v>152</v>
      </c>
      <c r="C26" s="9" t="s">
        <v>153</v>
      </c>
      <c r="D26" s="10" t="s">
        <v>154</v>
      </c>
      <c r="E26" s="11" t="s">
        <v>155</v>
      </c>
      <c r="F26" s="12" t="s">
        <v>156</v>
      </c>
      <c r="G26" s="13" t="s">
        <v>32</v>
      </c>
      <c r="H26" s="13" t="s">
        <v>17</v>
      </c>
      <c r="I26" s="14" t="s">
        <v>157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7.25" customHeight="1">
      <c r="A27" s="7" t="s">
        <v>121</v>
      </c>
      <c r="B27" s="15" t="s">
        <v>158</v>
      </c>
      <c r="C27" s="16" t="s">
        <v>159</v>
      </c>
      <c r="D27" s="10" t="s">
        <v>160</v>
      </c>
      <c r="E27" s="11" t="s">
        <v>161</v>
      </c>
      <c r="F27" s="12" t="s">
        <v>162</v>
      </c>
      <c r="G27" s="17" t="s">
        <v>17</v>
      </c>
      <c r="H27" s="17" t="s">
        <v>163</v>
      </c>
      <c r="I27" s="18" t="s">
        <v>164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7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7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86"/>
    <col customWidth="1" min="2" max="26" width="29.86"/>
  </cols>
  <sheetData>
    <row r="1" ht="27.75" customHeight="1">
      <c r="A1" s="1" t="s">
        <v>165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166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6" t="s">
        <v>2</v>
      </c>
      <c r="B3" s="6" t="s">
        <v>3</v>
      </c>
      <c r="C3" s="6" t="s">
        <v>39</v>
      </c>
      <c r="D3" s="6" t="s">
        <v>18</v>
      </c>
      <c r="E3" s="6" t="s">
        <v>32</v>
      </c>
      <c r="F3" s="6" t="s">
        <v>17</v>
      </c>
      <c r="G3" s="6" t="s">
        <v>25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11</v>
      </c>
      <c r="B4" s="8" t="s">
        <v>12</v>
      </c>
      <c r="C4" s="19">
        <v>1.0</v>
      </c>
      <c r="D4" s="19">
        <v>1.0</v>
      </c>
      <c r="E4" s="19">
        <v>1.0</v>
      </c>
      <c r="F4" s="19">
        <v>1.0</v>
      </c>
      <c r="G4" s="19">
        <v>1.0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7" t="s">
        <v>11</v>
      </c>
      <c r="B5" s="15" t="s">
        <v>20</v>
      </c>
      <c r="C5" s="19">
        <v>1.0</v>
      </c>
      <c r="D5" s="19">
        <v>1.0</v>
      </c>
      <c r="E5" s="19">
        <v>1.0</v>
      </c>
      <c r="F5" s="20">
        <v>0.0</v>
      </c>
      <c r="G5" s="19">
        <v>1.0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7" t="s">
        <v>11</v>
      </c>
      <c r="B6" s="8" t="s">
        <v>167</v>
      </c>
      <c r="C6" s="19">
        <v>1.0</v>
      </c>
      <c r="D6" s="19">
        <v>1.0</v>
      </c>
      <c r="E6" s="20">
        <v>0.0</v>
      </c>
      <c r="F6" s="19">
        <v>1.0</v>
      </c>
      <c r="G6" s="19">
        <v>1.0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7" t="s">
        <v>11</v>
      </c>
      <c r="B7" s="15" t="s">
        <v>34</v>
      </c>
      <c r="C7" s="19">
        <v>1.0</v>
      </c>
      <c r="D7" s="19">
        <v>1.0</v>
      </c>
      <c r="E7" s="20">
        <v>0.0</v>
      </c>
      <c r="F7" s="20">
        <v>0.0</v>
      </c>
      <c r="G7" s="19">
        <v>1.0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7" t="s">
        <v>11</v>
      </c>
      <c r="B8" s="8" t="s">
        <v>168</v>
      </c>
      <c r="C8" s="20">
        <v>0.0</v>
      </c>
      <c r="D8" s="19">
        <v>1.0</v>
      </c>
      <c r="E8" s="20">
        <v>0.0</v>
      </c>
      <c r="F8" s="19">
        <v>1.0</v>
      </c>
      <c r="G8" s="20">
        <v>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7" t="s">
        <v>11</v>
      </c>
      <c r="B9" s="15" t="s">
        <v>47</v>
      </c>
      <c r="C9" s="19">
        <v>1.0</v>
      </c>
      <c r="D9" s="19">
        <v>1.0</v>
      </c>
      <c r="E9" s="19">
        <v>1.0</v>
      </c>
      <c r="F9" s="20">
        <v>0.0</v>
      </c>
      <c r="G9" s="20">
        <v>0.0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7" t="s">
        <v>11</v>
      </c>
      <c r="B10" s="8" t="s">
        <v>53</v>
      </c>
      <c r="C10" s="20">
        <v>0.0</v>
      </c>
      <c r="D10" s="19">
        <v>1.0</v>
      </c>
      <c r="E10" s="20">
        <v>0.0</v>
      </c>
      <c r="F10" s="19">
        <v>1.0</v>
      </c>
      <c r="G10" s="20">
        <v>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7" t="s">
        <v>59</v>
      </c>
      <c r="B11" s="15" t="s">
        <v>60</v>
      </c>
      <c r="C11" s="19">
        <v>1.0</v>
      </c>
      <c r="D11" s="19">
        <v>1.0</v>
      </c>
      <c r="E11" s="20">
        <v>0.0</v>
      </c>
      <c r="F11" s="20">
        <v>0.0</v>
      </c>
      <c r="G11" s="19">
        <v>1.0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" t="s">
        <v>59</v>
      </c>
      <c r="B12" s="8" t="s">
        <v>66</v>
      </c>
      <c r="C12" s="19">
        <v>1.0</v>
      </c>
      <c r="D12" s="20">
        <v>0.0</v>
      </c>
      <c r="E12" s="19">
        <v>1.0</v>
      </c>
      <c r="F12" s="20">
        <v>0.0</v>
      </c>
      <c r="G12" s="19">
        <v>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7" t="s">
        <v>59</v>
      </c>
      <c r="B13" s="15" t="s">
        <v>72</v>
      </c>
      <c r="C13" s="21">
        <v>-1.0</v>
      </c>
      <c r="D13" s="21">
        <v>-1.0</v>
      </c>
      <c r="E13" s="21">
        <v>-1.0</v>
      </c>
      <c r="F13" s="21">
        <v>-1.0</v>
      </c>
      <c r="G13" s="21">
        <v>-1.0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7" t="s">
        <v>59</v>
      </c>
      <c r="B14" s="8" t="s">
        <v>78</v>
      </c>
      <c r="C14" s="21">
        <v>-1.0</v>
      </c>
      <c r="D14" s="21">
        <v>-1.0</v>
      </c>
      <c r="E14" s="21">
        <v>-1.0</v>
      </c>
      <c r="F14" s="21">
        <v>-1.0</v>
      </c>
      <c r="G14" s="21">
        <v>-1.0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7" t="s">
        <v>59</v>
      </c>
      <c r="B15" s="15" t="s">
        <v>84</v>
      </c>
      <c r="C15" s="21">
        <v>-1.0</v>
      </c>
      <c r="D15" s="21">
        <v>-1.0</v>
      </c>
      <c r="E15" s="21">
        <v>-1.0</v>
      </c>
      <c r="F15" s="20">
        <v>0.0</v>
      </c>
      <c r="G15" s="21">
        <v>-1.0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7" t="s">
        <v>59</v>
      </c>
      <c r="B16" s="8" t="s">
        <v>90</v>
      </c>
      <c r="C16" s="21">
        <v>-1.0</v>
      </c>
      <c r="D16" s="21">
        <v>-1.0</v>
      </c>
      <c r="E16" s="21">
        <v>-1.0</v>
      </c>
      <c r="F16" s="20">
        <v>0.0</v>
      </c>
      <c r="G16" s="21">
        <v>-1.0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7" t="s">
        <v>96</v>
      </c>
      <c r="B17" s="15" t="s">
        <v>97</v>
      </c>
      <c r="C17" s="19">
        <v>1.0</v>
      </c>
      <c r="D17" s="19">
        <v>1.0</v>
      </c>
      <c r="E17" s="19">
        <v>1.0</v>
      </c>
      <c r="F17" s="20">
        <v>0.0</v>
      </c>
      <c r="G17" s="19">
        <v>1.0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7" t="s">
        <v>96</v>
      </c>
      <c r="B18" s="8" t="s">
        <v>103</v>
      </c>
      <c r="C18" s="19">
        <v>1.0</v>
      </c>
      <c r="D18" s="19">
        <v>1.0</v>
      </c>
      <c r="E18" s="19">
        <v>1.0</v>
      </c>
      <c r="F18" s="20">
        <v>0.0</v>
      </c>
      <c r="G18" s="19">
        <v>1.0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7" t="s">
        <v>96</v>
      </c>
      <c r="B19" s="15" t="s">
        <v>109</v>
      </c>
      <c r="C19" s="19">
        <v>1.0</v>
      </c>
      <c r="D19" s="19">
        <v>1.0</v>
      </c>
      <c r="E19" s="20">
        <v>0.0</v>
      </c>
      <c r="F19" s="20">
        <v>0.0</v>
      </c>
      <c r="G19" s="19">
        <v>1.0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7" t="s">
        <v>96</v>
      </c>
      <c r="B20" s="8" t="s">
        <v>115</v>
      </c>
      <c r="C20" s="19">
        <v>1.0</v>
      </c>
      <c r="D20" s="19">
        <v>1.0</v>
      </c>
      <c r="E20" s="19">
        <v>1.0</v>
      </c>
      <c r="F20" s="20">
        <v>0.0</v>
      </c>
      <c r="G20" s="19">
        <v>1.0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7" t="s">
        <v>121</v>
      </c>
      <c r="B21" s="15" t="s">
        <v>122</v>
      </c>
      <c r="C21" s="19">
        <v>1.0</v>
      </c>
      <c r="D21" s="20">
        <v>0.0</v>
      </c>
      <c r="E21" s="19">
        <v>1.0</v>
      </c>
      <c r="F21" s="19">
        <v>1.0</v>
      </c>
      <c r="G21" s="20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7" t="s">
        <v>121</v>
      </c>
      <c r="B22" s="8" t="s">
        <v>128</v>
      </c>
      <c r="C22" s="20">
        <v>0.0</v>
      </c>
      <c r="D22" s="20">
        <v>0.0</v>
      </c>
      <c r="E22" s="19">
        <v>1.0</v>
      </c>
      <c r="F22" s="19">
        <v>1.0</v>
      </c>
      <c r="G22" s="20">
        <v>0.0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7" t="s">
        <v>121</v>
      </c>
      <c r="B23" s="15" t="s">
        <v>134</v>
      </c>
      <c r="C23" s="19">
        <v>1.0</v>
      </c>
      <c r="D23" s="20">
        <v>0.0</v>
      </c>
      <c r="E23" s="19">
        <v>1.0</v>
      </c>
      <c r="F23" s="19">
        <v>1.0</v>
      </c>
      <c r="G23" s="20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7" t="s">
        <v>121</v>
      </c>
      <c r="B24" s="8" t="s">
        <v>140</v>
      </c>
      <c r="C24" s="20">
        <v>0.0</v>
      </c>
      <c r="D24" s="20">
        <v>0.0</v>
      </c>
      <c r="E24" s="19">
        <v>1.0</v>
      </c>
      <c r="F24" s="19">
        <v>1.0</v>
      </c>
      <c r="G24" s="20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7" t="s">
        <v>121</v>
      </c>
      <c r="B25" s="15" t="s">
        <v>146</v>
      </c>
      <c r="C25" s="19">
        <v>1.0</v>
      </c>
      <c r="D25" s="19">
        <v>1.0</v>
      </c>
      <c r="E25" s="19">
        <v>1.0</v>
      </c>
      <c r="F25" s="19">
        <v>1.0</v>
      </c>
      <c r="G25" s="19">
        <v>1.0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7" t="s">
        <v>121</v>
      </c>
      <c r="B26" s="8" t="s">
        <v>152</v>
      </c>
      <c r="C26" s="20">
        <v>0.0</v>
      </c>
      <c r="D26" s="20">
        <v>0.0</v>
      </c>
      <c r="E26" s="19">
        <v>1.0</v>
      </c>
      <c r="F26" s="20">
        <v>0.0</v>
      </c>
      <c r="G26" s="20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7" t="s">
        <v>121</v>
      </c>
      <c r="B27" s="15" t="s">
        <v>158</v>
      </c>
      <c r="C27" s="21">
        <v>-1.0</v>
      </c>
      <c r="D27" s="21">
        <v>-1.0</v>
      </c>
      <c r="E27" s="21">
        <v>-1.0</v>
      </c>
      <c r="F27" s="21">
        <v>-1.0</v>
      </c>
      <c r="G27" s="21">
        <v>-1.0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7.29"/>
    <col customWidth="1" min="2" max="2" width="11.86"/>
    <col customWidth="1" min="3" max="3" width="18.43"/>
    <col customWidth="1" min="4" max="5" width="14.0"/>
    <col customWidth="1" min="6" max="6" width="76.43"/>
    <col customWidth="1" min="7" max="26" width="8.71"/>
  </cols>
  <sheetData>
    <row r="1" ht="27.75" customHeight="1">
      <c r="A1" s="22" t="s">
        <v>169</v>
      </c>
      <c r="B1" s="2"/>
      <c r="C1" s="2"/>
      <c r="D1" s="2"/>
      <c r="E1" s="2"/>
      <c r="F1" s="2"/>
      <c r="G1" s="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4" t="s">
        <v>170</v>
      </c>
      <c r="B3" s="2"/>
      <c r="C3" s="2"/>
      <c r="D3" s="2"/>
      <c r="E3" s="2"/>
      <c r="F3" s="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9.5" customHeight="1">
      <c r="A4" s="25" t="s">
        <v>171</v>
      </c>
      <c r="B4" s="26">
        <v>480000.0</v>
      </c>
      <c r="C4" s="23"/>
      <c r="D4" s="23"/>
      <c r="E4" s="23"/>
      <c r="F4" s="27" t="s">
        <v>172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75" customHeight="1">
      <c r="A5" s="25" t="s">
        <v>173</v>
      </c>
      <c r="B5" s="28">
        <v>1.0</v>
      </c>
      <c r="C5" s="23"/>
      <c r="D5" s="23"/>
      <c r="E5" s="23"/>
      <c r="F5" s="27" t="s">
        <v>174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9.5" customHeight="1">
      <c r="A6" s="25" t="s">
        <v>175</v>
      </c>
      <c r="B6" s="29">
        <v>0.8</v>
      </c>
      <c r="C6" s="23"/>
      <c r="D6" s="23"/>
      <c r="E6" s="23"/>
      <c r="F6" s="27" t="s">
        <v>176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9.5" customHeight="1">
      <c r="A7" s="24" t="s">
        <v>177</v>
      </c>
      <c r="B7" s="2"/>
      <c r="C7" s="2"/>
      <c r="D7" s="2"/>
      <c r="E7" s="2"/>
      <c r="F7" s="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1.5" customHeight="1">
      <c r="A8" s="30" t="s">
        <v>3</v>
      </c>
      <c r="B8" s="30" t="s">
        <v>178</v>
      </c>
      <c r="C8" s="30" t="s">
        <v>179</v>
      </c>
      <c r="D8" s="30" t="s">
        <v>180</v>
      </c>
      <c r="E8" s="30" t="s">
        <v>181</v>
      </c>
      <c r="F8" s="30" t="s">
        <v>182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1.75" customHeight="1">
      <c r="A9" s="31" t="s">
        <v>183</v>
      </c>
      <c r="B9" s="28">
        <v>0.0</v>
      </c>
      <c r="C9" s="32">
        <v>0.055</v>
      </c>
      <c r="D9" s="33">
        <f t="shared" ref="D9:D20" si="1">$B$4*B9*C9</f>
        <v>0</v>
      </c>
      <c r="E9" s="34">
        <f>CHOOSE($B$5,0.3,0.35,0.25,0.2,0.3)</f>
        <v>0.3</v>
      </c>
      <c r="F9" s="27" t="s">
        <v>184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1.75" customHeight="1">
      <c r="A10" s="31" t="s">
        <v>97</v>
      </c>
      <c r="B10" s="28">
        <v>1.0</v>
      </c>
      <c r="C10" s="32">
        <v>0.042</v>
      </c>
      <c r="D10" s="33">
        <f t="shared" si="1"/>
        <v>20160</v>
      </c>
      <c r="E10" s="34">
        <f t="shared" ref="E10:E11" si="2">CHOOSE($B$5,0.2,0.25,0.15,0.05,0.25)</f>
        <v>0.2</v>
      </c>
      <c r="F10" s="27" t="s">
        <v>185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1.75" customHeight="1">
      <c r="A11" s="31" t="s">
        <v>103</v>
      </c>
      <c r="B11" s="28">
        <v>0.0</v>
      </c>
      <c r="C11" s="32">
        <v>0.028</v>
      </c>
      <c r="D11" s="33">
        <f t="shared" si="1"/>
        <v>0</v>
      </c>
      <c r="E11" s="34">
        <f t="shared" si="2"/>
        <v>0.2</v>
      </c>
      <c r="F11" s="27" t="s">
        <v>186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1.75" customHeight="1">
      <c r="A12" s="31" t="s">
        <v>187</v>
      </c>
      <c r="B12" s="28">
        <v>1.0</v>
      </c>
      <c r="C12" s="32">
        <v>0.038</v>
      </c>
      <c r="D12" s="33">
        <f t="shared" si="1"/>
        <v>18240</v>
      </c>
      <c r="E12" s="34">
        <f>CHOOSE($B$5,0.4,0.3,0.3,0.15,0.35)</f>
        <v>0.4</v>
      </c>
      <c r="F12" s="27" t="s">
        <v>188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1.75" customHeight="1">
      <c r="A13" s="31" t="s">
        <v>122</v>
      </c>
      <c r="B13" s="28">
        <v>0.0</v>
      </c>
      <c r="C13" s="32">
        <v>0.031</v>
      </c>
      <c r="D13" s="33">
        <f t="shared" si="1"/>
        <v>0</v>
      </c>
      <c r="E13" s="34">
        <f t="shared" ref="E13:E14" si="3">CHOOSE($B$5,0.1,0.1,0.3,0.6,0.1)</f>
        <v>0.1</v>
      </c>
      <c r="F13" s="27" t="s">
        <v>189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1.75" customHeight="1">
      <c r="A14" s="31" t="s">
        <v>128</v>
      </c>
      <c r="B14" s="28">
        <v>-1.0</v>
      </c>
      <c r="C14" s="32">
        <v>0.024</v>
      </c>
      <c r="D14" s="33">
        <f t="shared" si="1"/>
        <v>-11520</v>
      </c>
      <c r="E14" s="34">
        <f t="shared" si="3"/>
        <v>0.1</v>
      </c>
      <c r="F14" s="27" t="s">
        <v>190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1.75" customHeight="1">
      <c r="A15" s="31" t="s">
        <v>191</v>
      </c>
      <c r="B15" s="28">
        <v>0.0</v>
      </c>
      <c r="C15" s="32">
        <v>0.045</v>
      </c>
      <c r="D15" s="33">
        <f t="shared" si="1"/>
        <v>0</v>
      </c>
      <c r="E15" s="34">
        <f t="shared" ref="E15:E16" si="4">CHOOSE($B$5,0.4,0.3,0.3,0.15,0.35)</f>
        <v>0.4</v>
      </c>
      <c r="F15" s="27" t="s">
        <v>192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1.75" customHeight="1">
      <c r="A16" s="31" t="s">
        <v>84</v>
      </c>
      <c r="B16" s="28">
        <v>1.0</v>
      </c>
      <c r="C16" s="32">
        <v>0.033</v>
      </c>
      <c r="D16" s="33">
        <f t="shared" si="1"/>
        <v>15840</v>
      </c>
      <c r="E16" s="34">
        <f t="shared" si="4"/>
        <v>0.4</v>
      </c>
      <c r="F16" s="27" t="s">
        <v>193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1.75" customHeight="1">
      <c r="A17" s="31" t="s">
        <v>194</v>
      </c>
      <c r="B17" s="28">
        <v>0.0</v>
      </c>
      <c r="C17" s="32">
        <v>0.029</v>
      </c>
      <c r="D17" s="33">
        <f t="shared" si="1"/>
        <v>0</v>
      </c>
      <c r="E17" s="34">
        <f>CHOOSE($B$5,0.2,0.25,0.15,0.05,0.25)</f>
        <v>0.2</v>
      </c>
      <c r="F17" s="27" t="s">
        <v>195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1.75" customHeight="1">
      <c r="A18" s="31" t="s">
        <v>146</v>
      </c>
      <c r="B18" s="28">
        <v>0.0</v>
      </c>
      <c r="C18" s="32">
        <v>0.06</v>
      </c>
      <c r="D18" s="33">
        <f t="shared" si="1"/>
        <v>0</v>
      </c>
      <c r="E18" s="34">
        <f>CHOOSE($B$5,0.1,0.1,0.3,0.6,0.1)</f>
        <v>0.1</v>
      </c>
      <c r="F18" s="27" t="s">
        <v>196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1.75" customHeight="1">
      <c r="A19" s="31" t="s">
        <v>197</v>
      </c>
      <c r="B19" s="28">
        <v>0.0</v>
      </c>
      <c r="C19" s="32">
        <v>0.021</v>
      </c>
      <c r="D19" s="33">
        <f t="shared" si="1"/>
        <v>0</v>
      </c>
      <c r="E19" s="34">
        <f>CHOOSE($B$5,0.4,0.3,0.3,0.15,0.35)</f>
        <v>0.4</v>
      </c>
      <c r="F19" s="27" t="s">
        <v>198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1.75" customHeight="1">
      <c r="A20" s="31" t="s">
        <v>199</v>
      </c>
      <c r="B20" s="28">
        <v>0.0</v>
      </c>
      <c r="C20" s="32">
        <v>0.015</v>
      </c>
      <c r="D20" s="33">
        <f t="shared" si="1"/>
        <v>0</v>
      </c>
      <c r="E20" s="34">
        <f>CHOOSE($B$5,0.1,0.1,0.3,0.6,0.1)</f>
        <v>0.1</v>
      </c>
      <c r="F20" s="27" t="s">
        <v>200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9.5" customHeight="1">
      <c r="A22" s="24" t="s">
        <v>201</v>
      </c>
      <c r="B22" s="2"/>
      <c r="C22" s="2"/>
      <c r="D22" s="2"/>
      <c r="E22" s="2"/>
      <c r="F22" s="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1.75" customHeight="1">
      <c r="A23" s="35" t="s">
        <v>202</v>
      </c>
      <c r="B23" s="36">
        <f>SUMPRODUCT($B$4*B9:B20*C9:C20)</f>
        <v>42720</v>
      </c>
      <c r="C23" s="23"/>
      <c r="D23" s="23"/>
      <c r="E23" s="23"/>
      <c r="F23" s="27" t="s">
        <v>203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1.75" customHeight="1">
      <c r="A24" s="35" t="s">
        <v>204</v>
      </c>
      <c r="B24" s="36">
        <f>SUMPRODUCT($B$4*B9:B20*C9:C20*E9:E20)</f>
        <v>16512</v>
      </c>
      <c r="C24" s="23"/>
      <c r="D24" s="23"/>
      <c r="E24" s="23"/>
      <c r="F24" s="27" t="s">
        <v>205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1.75" customHeight="1">
      <c r="A25" s="35" t="s">
        <v>206</v>
      </c>
      <c r="B25" s="36">
        <f>B24*$B$6</f>
        <v>13209.6</v>
      </c>
      <c r="C25" s="23"/>
      <c r="D25" s="23"/>
      <c r="E25" s="23"/>
      <c r="F25" s="27" t="s">
        <v>207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1.75" customHeight="1">
      <c r="A26" s="35" t="s">
        <v>208</v>
      </c>
      <c r="B26" s="36">
        <f>$B$4+B25</f>
        <v>493209.6</v>
      </c>
      <c r="C26" s="23"/>
      <c r="D26" s="23"/>
      <c r="E26" s="23"/>
      <c r="F26" s="27" t="s">
        <v>209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4">
    <mergeCell ref="A1:G1"/>
    <mergeCell ref="A3:F3"/>
    <mergeCell ref="A7:F7"/>
    <mergeCell ref="A22:F22"/>
  </mergeCells>
  <printOptions/>
  <pageMargins bottom="1.0" footer="0.0" header="0.0" left="0.75" right="0.75" top="1.0"/>
  <pageSetup paperSize="9" orientation="portrait"/>
  <drawing r:id="rId1"/>
</worksheet>
</file>